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nqc1u\Desktop\"/>
    </mc:Choice>
  </mc:AlternateContent>
  <xr:revisionPtr revIDLastSave="0" documentId="8_{C4A0B1B0-3FF6-4388-933E-BB3552032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P23" i="1"/>
  <c r="W20" i="1"/>
  <c r="Q34" i="1"/>
  <c r="G50" i="1"/>
  <c r="K49" i="1"/>
  <c r="G49" i="1"/>
  <c r="G57" i="1"/>
  <c r="K57" i="1" s="1"/>
  <c r="G56" i="1"/>
  <c r="K56" i="1" s="1"/>
  <c r="G55" i="1"/>
  <c r="K55" i="1" s="1"/>
  <c r="G54" i="1"/>
  <c r="K54" i="1" s="1"/>
  <c r="G53" i="1"/>
  <c r="K53" i="1" s="1"/>
  <c r="G52" i="1"/>
  <c r="K52" i="1" s="1"/>
  <c r="K50" i="1"/>
  <c r="K48" i="1"/>
  <c r="G51" i="1"/>
  <c r="K51" i="1" s="1"/>
  <c r="K47" i="1"/>
  <c r="K46" i="1"/>
  <c r="G43" i="1"/>
  <c r="U20" i="1"/>
  <c r="T20" i="1"/>
  <c r="G40" i="1"/>
  <c r="G42" i="1"/>
  <c r="G41" i="1"/>
  <c r="R20" i="1"/>
  <c r="Q20" i="1"/>
  <c r="P20" i="1"/>
  <c r="G39" i="1"/>
  <c r="G36" i="1"/>
  <c r="G24" i="1"/>
  <c r="K24" i="1" s="1"/>
  <c r="G23" i="1"/>
  <c r="K23" i="1" s="1"/>
  <c r="G22" i="1"/>
  <c r="K22" i="1" s="1"/>
  <c r="G35" i="1"/>
  <c r="G34" i="1"/>
  <c r="G33" i="1"/>
  <c r="G32" i="1"/>
  <c r="S20" i="1"/>
  <c r="G31" i="1"/>
  <c r="K27" i="1"/>
  <c r="G26" i="1"/>
  <c r="K26" i="1" s="1"/>
  <c r="G21" i="1"/>
  <c r="J58" i="1"/>
  <c r="I58" i="1"/>
  <c r="H58" i="1"/>
  <c r="K45" i="1"/>
  <c r="K44" i="1"/>
  <c r="K43" i="1"/>
  <c r="K42" i="1"/>
  <c r="K41" i="1"/>
  <c r="K40" i="1"/>
  <c r="K39" i="1"/>
  <c r="K38" i="1"/>
  <c r="K37" i="1"/>
  <c r="K36" i="1"/>
  <c r="K35" i="1"/>
  <c r="K34" i="1"/>
  <c r="K32" i="1"/>
  <c r="K31" i="1"/>
  <c r="K30" i="1"/>
  <c r="K28" i="1"/>
  <c r="K21" i="1"/>
  <c r="G20" i="1"/>
  <c r="K20" i="1" s="1"/>
  <c r="E19" i="1"/>
  <c r="E58" i="1" s="1"/>
  <c r="I15" i="1"/>
  <c r="H15" i="1"/>
  <c r="G14" i="1"/>
  <c r="K14" i="1" s="1"/>
  <c r="G13" i="1"/>
  <c r="K13" i="1" s="1"/>
  <c r="G12" i="1"/>
  <c r="K12" i="1" s="1"/>
  <c r="J11" i="1"/>
  <c r="J15" i="1" s="1"/>
  <c r="G11" i="1"/>
  <c r="K11" i="1" s="1"/>
  <c r="G10" i="1"/>
  <c r="K10" i="1" s="1"/>
  <c r="G9" i="1"/>
  <c r="K9" i="1" s="1"/>
  <c r="E8" i="1"/>
  <c r="G8" i="1" s="1"/>
  <c r="K8" i="1" s="1"/>
  <c r="G7" i="1"/>
  <c r="K7" i="1" s="1"/>
  <c r="G6" i="1"/>
  <c r="K6" i="1" s="1"/>
  <c r="G5" i="1"/>
  <c r="K5" i="1" s="1"/>
  <c r="G4" i="1"/>
  <c r="K4" i="1" s="1"/>
  <c r="G3" i="1"/>
  <c r="G2" i="1"/>
  <c r="K2" i="1" s="1"/>
  <c r="G15" i="1" l="1"/>
  <c r="K3" i="1"/>
  <c r="K15" i="1" s="1"/>
  <c r="G19" i="1"/>
  <c r="E15" i="1"/>
  <c r="K19" i="1" l="1"/>
  <c r="K33" i="1"/>
  <c r="K58" i="1" s="1"/>
  <c r="G58" i="1"/>
</calcChain>
</file>

<file path=xl/sharedStrings.xml><?xml version="1.0" encoding="utf-8"?>
<sst xmlns="http://schemas.openxmlformats.org/spreadsheetml/2006/main" count="59" uniqueCount="40">
  <si>
    <t>JUILLET</t>
  </si>
  <si>
    <t>DATE</t>
  </si>
  <si>
    <t>FOURNISSEUR</t>
  </si>
  <si>
    <t>NBRE DE PIECE</t>
  </si>
  <si>
    <t>POIDS</t>
  </si>
  <si>
    <t>P.U</t>
  </si>
  <si>
    <t>PRIX</t>
  </si>
  <si>
    <t>TRANSPORT</t>
  </si>
  <si>
    <t>ESSENCE WAW</t>
  </si>
  <si>
    <t>AUTRES</t>
  </si>
  <si>
    <t>MONTANT</t>
  </si>
  <si>
    <t>MOUSSA</t>
  </si>
  <si>
    <t>HOURIYA</t>
  </si>
  <si>
    <t>M BACKA YENZA</t>
  </si>
  <si>
    <t xml:space="preserve"> KEYTA</t>
  </si>
  <si>
    <t xml:space="preserve"> MOUSSA 2</t>
  </si>
  <si>
    <t>TIJANI</t>
  </si>
  <si>
    <t xml:space="preserve"> </t>
  </si>
  <si>
    <t>ABDELLAHI</t>
  </si>
  <si>
    <t>MODJIBOU</t>
  </si>
  <si>
    <t xml:space="preserve">TOTAL </t>
  </si>
  <si>
    <t>GOAL 1 CONTENAIR PER MONTH</t>
  </si>
  <si>
    <t>1ER</t>
  </si>
  <si>
    <t>2ER</t>
  </si>
  <si>
    <t>3ER</t>
  </si>
  <si>
    <t>4ER</t>
  </si>
  <si>
    <t>5ER</t>
  </si>
  <si>
    <t>6ER</t>
  </si>
  <si>
    <t>7ER</t>
  </si>
  <si>
    <t>8ER</t>
  </si>
  <si>
    <t>AOUT</t>
  </si>
  <si>
    <t>AHMEDOU</t>
  </si>
  <si>
    <t>PAYE</t>
  </si>
  <si>
    <t>RESTE</t>
  </si>
  <si>
    <t>TOTAL</t>
  </si>
  <si>
    <t>OUSMAN</t>
  </si>
  <si>
    <t>TEREIRA</t>
  </si>
  <si>
    <t>90.7</t>
  </si>
  <si>
    <t>TOTAL KG</t>
  </si>
  <si>
    <t>TERREIRA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</si>
</sst>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0" fillId="0" borderId="22" xfId="0" applyBorder="1"/>
    <xf numFmtId="0" fontId="0" fillId="0" borderId="10" xfId="0" applyBorder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22" xfId="0" applyNumberFormat="1" applyBorder="1"/>
    <xf numFmtId="0" fontId="0" fillId="5" borderId="0" xfId="0" applyFill="1"/>
    <xf numFmtId="0" fontId="0" fillId="6" borderId="0" xfId="0" applyFill="1" applyAlignment="1">
      <alignment horizontal="center"/>
    </xf>
    <xf numFmtId="3" fontId="4" fillId="0" borderId="23" xfId="0" applyNumberFormat="1" applyFont="1" applyBorder="1"/>
    <xf numFmtId="0" fontId="0" fillId="0" borderId="24" xfId="0" applyBorder="1"/>
    <xf numFmtId="14" fontId="0" fillId="0" borderId="25" xfId="0" applyNumberFormat="1" applyBorder="1"/>
    <xf numFmtId="0" fontId="1" fillId="0" borderId="1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12" xfId="0" applyFont="1" applyBorder="1" applyAlignment="1">
      <alignment horizontal="center" vertical="center" textRotation="255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topLeftCell="A12" workbookViewId="0">
      <selection activeCell="W17" sqref="W17:W20"/>
    </sheetView>
  </sheetViews>
  <sheetFormatPr defaultColWidth="8.85546875" defaultRowHeight="15"/>
  <cols>
    <col min="2" max="2" width="16.28515625" bestFit="1" customWidth="1"/>
    <col min="3" max="3" width="14.28515625" bestFit="1" customWidth="1"/>
    <col min="11" max="11" width="12.5703125" customWidth="1"/>
    <col min="15" max="15" width="14.85546875" customWidth="1"/>
  </cols>
  <sheetData>
    <row r="1" spans="1:11" ht="16.149999999999999" thickBot="1">
      <c r="A1" s="2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 spans="1:11" ht="14.45">
      <c r="A2" s="30"/>
      <c r="B2" s="5">
        <v>46218</v>
      </c>
      <c r="C2" s="6" t="s">
        <v>11</v>
      </c>
      <c r="D2" s="6"/>
      <c r="E2" s="6">
        <v>437</v>
      </c>
      <c r="F2" s="6">
        <v>35</v>
      </c>
      <c r="G2" s="6">
        <f>E2*F2</f>
        <v>15295</v>
      </c>
      <c r="H2" s="6">
        <v>1500</v>
      </c>
      <c r="I2" s="6"/>
      <c r="J2" s="7"/>
      <c r="K2" s="8">
        <f>G2+H2+I2+J2</f>
        <v>16795</v>
      </c>
    </row>
    <row r="3" spans="1:11" ht="14.45">
      <c r="A3" s="30"/>
      <c r="B3" s="9">
        <v>46224</v>
      </c>
      <c r="C3" s="10" t="s">
        <v>12</v>
      </c>
      <c r="D3" s="10">
        <v>5</v>
      </c>
      <c r="E3" s="10">
        <v>27</v>
      </c>
      <c r="F3" s="10">
        <v>35</v>
      </c>
      <c r="G3" s="10">
        <f t="shared" ref="G3:G14" si="0">E3*F3</f>
        <v>945</v>
      </c>
      <c r="H3" s="10"/>
      <c r="I3" s="10"/>
      <c r="J3" s="11"/>
      <c r="K3" s="8">
        <f t="shared" ref="K3:K14" si="1">G3+H3+I3+J3</f>
        <v>945</v>
      </c>
    </row>
    <row r="4" spans="1:11" ht="14.45">
      <c r="A4" s="30"/>
      <c r="B4" s="9">
        <v>46224</v>
      </c>
      <c r="C4" s="10" t="s">
        <v>13</v>
      </c>
      <c r="D4" s="10">
        <v>4</v>
      </c>
      <c r="E4" s="10">
        <v>13</v>
      </c>
      <c r="F4" s="10">
        <v>35</v>
      </c>
      <c r="G4" s="10">
        <f t="shared" si="0"/>
        <v>455</v>
      </c>
      <c r="H4" s="10"/>
      <c r="I4" s="10">
        <v>500</v>
      </c>
      <c r="J4" s="11">
        <v>100</v>
      </c>
      <c r="K4" s="8">
        <f t="shared" si="1"/>
        <v>1055</v>
      </c>
    </row>
    <row r="5" spans="1:11" ht="14.45">
      <c r="A5" s="30"/>
      <c r="B5" s="9">
        <v>46224</v>
      </c>
      <c r="C5" s="10" t="s">
        <v>14</v>
      </c>
      <c r="D5" s="10"/>
      <c r="E5" s="10">
        <v>110</v>
      </c>
      <c r="F5" s="10">
        <v>35</v>
      </c>
      <c r="G5" s="10">
        <f>E5*F5</f>
        <v>3850</v>
      </c>
      <c r="H5" s="10"/>
      <c r="I5" s="10">
        <v>500</v>
      </c>
      <c r="J5" s="11"/>
      <c r="K5" s="8">
        <f t="shared" si="1"/>
        <v>4350</v>
      </c>
    </row>
    <row r="6" spans="1:11" ht="14.45">
      <c r="A6" s="30"/>
      <c r="B6" s="9">
        <v>46224</v>
      </c>
      <c r="C6" s="10" t="s">
        <v>15</v>
      </c>
      <c r="D6" s="10"/>
      <c r="E6" s="10">
        <v>452</v>
      </c>
      <c r="F6" s="10">
        <v>35</v>
      </c>
      <c r="G6" s="10">
        <f t="shared" si="0"/>
        <v>15820</v>
      </c>
      <c r="H6" s="10"/>
      <c r="I6" s="10">
        <v>500</v>
      </c>
      <c r="J6" s="11"/>
      <c r="K6" s="8">
        <f t="shared" si="1"/>
        <v>16320</v>
      </c>
    </row>
    <row r="7" spans="1:11" ht="14.45">
      <c r="A7" s="30"/>
      <c r="B7" s="9">
        <v>46226</v>
      </c>
      <c r="C7" s="10" t="s">
        <v>16</v>
      </c>
      <c r="D7" s="10" t="s">
        <v>17</v>
      </c>
      <c r="E7" s="10">
        <v>447</v>
      </c>
      <c r="F7" s="10">
        <v>33</v>
      </c>
      <c r="G7" s="10">
        <f t="shared" si="0"/>
        <v>14751</v>
      </c>
      <c r="H7" s="10"/>
      <c r="I7" s="10"/>
      <c r="J7" s="11">
        <v>700</v>
      </c>
      <c r="K7" s="8">
        <f t="shared" si="1"/>
        <v>15451</v>
      </c>
    </row>
    <row r="8" spans="1:11" ht="14.45">
      <c r="A8" s="30"/>
      <c r="B8" s="9">
        <v>46230</v>
      </c>
      <c r="C8" s="10" t="s">
        <v>18</v>
      </c>
      <c r="D8" s="10"/>
      <c r="E8" s="10">
        <f>12+13</f>
        <v>25</v>
      </c>
      <c r="F8" s="10">
        <v>40</v>
      </c>
      <c r="G8" s="10">
        <f t="shared" si="0"/>
        <v>1000</v>
      </c>
      <c r="H8" s="10"/>
      <c r="I8" s="10"/>
      <c r="J8" s="11"/>
      <c r="K8" s="8">
        <f t="shared" si="1"/>
        <v>1000</v>
      </c>
    </row>
    <row r="9" spans="1:11" ht="14.45">
      <c r="A9" s="30"/>
      <c r="B9" s="9">
        <v>46231</v>
      </c>
      <c r="C9" s="10" t="s">
        <v>11</v>
      </c>
      <c r="D9" s="10"/>
      <c r="E9" s="10">
        <v>500</v>
      </c>
      <c r="F9" s="10">
        <v>35</v>
      </c>
      <c r="G9" s="10">
        <f t="shared" si="0"/>
        <v>17500</v>
      </c>
      <c r="H9" s="10"/>
      <c r="I9" s="10">
        <v>500</v>
      </c>
      <c r="J9" s="11"/>
      <c r="K9" s="8">
        <f t="shared" si="1"/>
        <v>18000</v>
      </c>
    </row>
    <row r="10" spans="1:11" ht="14.45">
      <c r="A10" s="30"/>
      <c r="B10" s="9">
        <v>46231</v>
      </c>
      <c r="C10" s="10"/>
      <c r="D10" s="10"/>
      <c r="E10" s="10">
        <v>122</v>
      </c>
      <c r="F10" s="10">
        <v>35</v>
      </c>
      <c r="G10" s="10">
        <f t="shared" si="0"/>
        <v>4270</v>
      </c>
      <c r="H10" s="10"/>
      <c r="J10" s="10">
        <v>240</v>
      </c>
      <c r="K10" s="8">
        <f>G10+H10+J10+I10</f>
        <v>4510</v>
      </c>
    </row>
    <row r="11" spans="1:11" ht="14.45">
      <c r="A11" s="30"/>
      <c r="B11" s="9">
        <v>46232</v>
      </c>
      <c r="C11" s="10" t="s">
        <v>19</v>
      </c>
      <c r="D11" s="10"/>
      <c r="E11" s="10">
        <v>306</v>
      </c>
      <c r="F11" s="10">
        <v>35</v>
      </c>
      <c r="G11" s="10">
        <f t="shared" si="0"/>
        <v>10710</v>
      </c>
      <c r="H11" s="10"/>
      <c r="I11" s="10"/>
      <c r="J11" s="11">
        <f>180+290</f>
        <v>470</v>
      </c>
      <c r="K11" s="8">
        <f t="shared" si="1"/>
        <v>11180</v>
      </c>
    </row>
    <row r="12" spans="1:11" ht="14.45">
      <c r="A12" s="30"/>
      <c r="B12" s="9">
        <v>46232</v>
      </c>
      <c r="C12" s="10" t="s">
        <v>16</v>
      </c>
      <c r="D12" s="10"/>
      <c r="E12" s="10">
        <v>146</v>
      </c>
      <c r="F12" s="10">
        <v>35</v>
      </c>
      <c r="G12" s="10">
        <f t="shared" si="0"/>
        <v>5110</v>
      </c>
      <c r="H12" s="10"/>
      <c r="I12" s="10"/>
      <c r="J12" s="11"/>
      <c r="K12" s="8">
        <f t="shared" si="1"/>
        <v>5110</v>
      </c>
    </row>
    <row r="13" spans="1:11" ht="14.45">
      <c r="A13" s="30"/>
      <c r="B13" s="9">
        <v>46233</v>
      </c>
      <c r="C13" s="10" t="s">
        <v>16</v>
      </c>
      <c r="D13" s="10"/>
      <c r="E13" s="10">
        <v>335</v>
      </c>
      <c r="F13" s="10">
        <v>35</v>
      </c>
      <c r="G13" s="10">
        <f>E13*F13</f>
        <v>11725</v>
      </c>
      <c r="H13" s="10"/>
      <c r="I13" s="10">
        <v>500</v>
      </c>
      <c r="J13" s="11">
        <v>280</v>
      </c>
      <c r="K13" s="8">
        <f t="shared" si="1"/>
        <v>12505</v>
      </c>
    </row>
    <row r="14" spans="1:11" thickBot="1">
      <c r="A14" s="30"/>
      <c r="B14" s="9">
        <v>46234</v>
      </c>
      <c r="C14" s="10"/>
      <c r="D14" s="10"/>
      <c r="E14" s="10">
        <v>355</v>
      </c>
      <c r="F14" s="10">
        <v>35</v>
      </c>
      <c r="G14" s="10">
        <f t="shared" si="0"/>
        <v>12425</v>
      </c>
      <c r="H14" s="10"/>
      <c r="I14" s="10"/>
      <c r="J14" s="11">
        <v>195</v>
      </c>
      <c r="K14" s="8">
        <f t="shared" si="1"/>
        <v>12620</v>
      </c>
    </row>
    <row r="15" spans="1:11" ht="16.149999999999999" thickBot="1">
      <c r="A15" s="31"/>
      <c r="B15" s="1" t="s">
        <v>20</v>
      </c>
      <c r="C15" s="2"/>
      <c r="D15" s="2"/>
      <c r="E15" s="2">
        <f>SUM(E2:E14)</f>
        <v>3275</v>
      </c>
      <c r="F15" s="2"/>
      <c r="G15" s="2">
        <f>SUM(G2:G14)</f>
        <v>113856</v>
      </c>
      <c r="H15" s="2">
        <f>SUM(H2:H14)</f>
        <v>1500</v>
      </c>
      <c r="I15" s="2">
        <f>SUM(I2:I14)</f>
        <v>2500</v>
      </c>
      <c r="J15" s="3">
        <f>SUM(J2:J14)</f>
        <v>1985</v>
      </c>
      <c r="K15" s="4">
        <f>SUM(K2:K14)</f>
        <v>119841</v>
      </c>
    </row>
    <row r="16" spans="1:11" ht="18.600000000000001" thickBot="1">
      <c r="A16" s="32" t="s">
        <v>21</v>
      </c>
      <c r="B16" s="33"/>
      <c r="C16" s="33"/>
      <c r="D16" s="33"/>
      <c r="E16" s="33"/>
      <c r="F16" s="33"/>
      <c r="G16" s="33"/>
      <c r="H16" s="33"/>
      <c r="I16" s="33"/>
      <c r="J16" s="33"/>
      <c r="K16" s="34"/>
    </row>
    <row r="17" spans="1:23" ht="18.600000000000001" thickBo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P17" s="20" t="s">
        <v>22</v>
      </c>
      <c r="Q17" s="20" t="s">
        <v>23</v>
      </c>
      <c r="R17" s="20" t="s">
        <v>24</v>
      </c>
      <c r="S17" s="20" t="s">
        <v>25</v>
      </c>
      <c r="T17" s="21" t="s">
        <v>26</v>
      </c>
      <c r="U17" s="21" t="s">
        <v>27</v>
      </c>
      <c r="V17" s="25" t="s">
        <v>28</v>
      </c>
      <c r="W17" s="37" t="s">
        <v>29</v>
      </c>
    </row>
    <row r="18" spans="1:23" ht="15.6">
      <c r="A18" s="35" t="s">
        <v>30</v>
      </c>
      <c r="B18" s="14" t="s">
        <v>1</v>
      </c>
      <c r="C18" s="15" t="s">
        <v>2</v>
      </c>
      <c r="D18" s="15" t="s">
        <v>3</v>
      </c>
      <c r="E18" s="15" t="s">
        <v>4</v>
      </c>
      <c r="F18" s="15" t="s">
        <v>5</v>
      </c>
      <c r="G18" s="15" t="s">
        <v>6</v>
      </c>
      <c r="H18" s="15" t="s">
        <v>7</v>
      </c>
      <c r="I18" s="15" t="s">
        <v>8</v>
      </c>
      <c r="J18" s="16" t="s">
        <v>9</v>
      </c>
      <c r="K18" s="17" t="s">
        <v>10</v>
      </c>
      <c r="O18" t="s">
        <v>31</v>
      </c>
      <c r="P18" s="20">
        <v>25000</v>
      </c>
      <c r="Q18" s="20">
        <v>21000</v>
      </c>
      <c r="R18" s="20">
        <v>25000</v>
      </c>
      <c r="S18" s="20">
        <v>20000</v>
      </c>
      <c r="T18" s="21">
        <v>25000</v>
      </c>
      <c r="U18" s="21">
        <v>10000</v>
      </c>
      <c r="V18" s="25">
        <v>15000</v>
      </c>
      <c r="W18" s="37">
        <v>30000</v>
      </c>
    </row>
    <row r="19" spans="1:23" ht="14.45">
      <c r="A19" s="36"/>
      <c r="B19" s="9">
        <v>46235</v>
      </c>
      <c r="C19" s="10"/>
      <c r="D19" s="10"/>
      <c r="E19" s="10">
        <f>36+15+17+35</f>
        <v>103</v>
      </c>
      <c r="F19" s="10">
        <v>35</v>
      </c>
      <c r="G19" s="10">
        <f>E19*F19</f>
        <v>3605</v>
      </c>
      <c r="H19" s="10"/>
      <c r="I19" s="10"/>
      <c r="J19" s="10">
        <v>200</v>
      </c>
      <c r="K19" s="10">
        <f>SUM(G19+H19+I19+J19)</f>
        <v>3805</v>
      </c>
      <c r="O19" t="s">
        <v>32</v>
      </c>
      <c r="P19" s="20">
        <v>24787</v>
      </c>
      <c r="Q19" s="20">
        <v>20215</v>
      </c>
      <c r="R19" s="20">
        <v>24425</v>
      </c>
      <c r="S19" s="20">
        <v>19640</v>
      </c>
      <c r="T19" s="21">
        <v>19705</v>
      </c>
      <c r="U19" s="21">
        <v>10000</v>
      </c>
      <c r="V19" s="25">
        <v>15000</v>
      </c>
      <c r="W19" s="37">
        <v>28240</v>
      </c>
    </row>
    <row r="20" spans="1:23" ht="14.45">
      <c r="A20" s="36"/>
      <c r="B20" s="9">
        <v>46235</v>
      </c>
      <c r="C20" s="10"/>
      <c r="D20" s="10"/>
      <c r="E20" s="10">
        <v>110</v>
      </c>
      <c r="F20" s="10">
        <v>35</v>
      </c>
      <c r="G20" s="10">
        <f>E20*F20</f>
        <v>3850</v>
      </c>
      <c r="H20" s="10"/>
      <c r="I20" s="10"/>
      <c r="J20" s="10"/>
      <c r="K20" s="10">
        <f t="shared" ref="K20:K45" si="2">SUM(G20+H20+I20+J20)</f>
        <v>3850</v>
      </c>
      <c r="O20" t="s">
        <v>33</v>
      </c>
      <c r="P20" s="20">
        <f>P18-P19</f>
        <v>213</v>
      </c>
      <c r="Q20" s="20">
        <f>Q18-Q19</f>
        <v>785</v>
      </c>
      <c r="R20" s="20">
        <f>R18-R19</f>
        <v>575</v>
      </c>
      <c r="S20" s="20">
        <f>S18-S19</f>
        <v>360</v>
      </c>
      <c r="T20" s="21">
        <f>T18-T19</f>
        <v>5295</v>
      </c>
      <c r="U20" s="21">
        <f>U18-U19</f>
        <v>0</v>
      </c>
      <c r="V20" s="25">
        <f>V18-V19</f>
        <v>0</v>
      </c>
      <c r="W20" s="37">
        <f>W18-W19</f>
        <v>1760</v>
      </c>
    </row>
    <row r="21" spans="1:23" ht="14.45">
      <c r="A21" s="36"/>
      <c r="B21" s="9">
        <v>46237</v>
      </c>
      <c r="C21" s="10"/>
      <c r="D21" s="10"/>
      <c r="E21" s="10">
        <v>626</v>
      </c>
      <c r="F21" s="10">
        <v>35</v>
      </c>
      <c r="G21" s="10">
        <f>E21*F21</f>
        <v>21910</v>
      </c>
      <c r="H21" s="10"/>
      <c r="I21" s="10"/>
      <c r="J21" s="10">
        <v>200</v>
      </c>
      <c r="K21" s="10">
        <f t="shared" si="2"/>
        <v>22110</v>
      </c>
      <c r="O21" t="s">
        <v>34</v>
      </c>
      <c r="Q21">
        <v>0</v>
      </c>
    </row>
    <row r="22" spans="1:23" ht="14.45">
      <c r="A22" s="36"/>
      <c r="B22" s="9">
        <v>46237</v>
      </c>
      <c r="C22" s="10"/>
      <c r="D22" s="10"/>
      <c r="E22" s="10">
        <v>30</v>
      </c>
      <c r="F22" s="10">
        <v>30</v>
      </c>
      <c r="G22" s="10">
        <f>E22*F22</f>
        <v>900</v>
      </c>
      <c r="H22" s="10"/>
      <c r="I22" s="10"/>
      <c r="J22" s="10"/>
      <c r="K22" s="10">
        <f>G22+H22+I22+J22</f>
        <v>900</v>
      </c>
    </row>
    <row r="23" spans="1:23">
      <c r="A23" s="36"/>
      <c r="B23" s="9">
        <v>46238</v>
      </c>
      <c r="C23" s="10"/>
      <c r="D23" s="10"/>
      <c r="E23" s="10">
        <v>270</v>
      </c>
      <c r="F23" s="10">
        <v>35</v>
      </c>
      <c r="G23" s="10">
        <f>E23*F23</f>
        <v>9450</v>
      </c>
      <c r="H23" s="10"/>
      <c r="I23" s="10">
        <v>500</v>
      </c>
      <c r="J23" s="10">
        <v>200</v>
      </c>
      <c r="K23" s="10">
        <f>G23+I23+J23</f>
        <v>10150</v>
      </c>
      <c r="O23" s="22" t="s">
        <v>33</v>
      </c>
      <c r="P23" s="22">
        <f>1760</f>
        <v>1760</v>
      </c>
    </row>
    <row r="24" spans="1:23">
      <c r="A24" s="36"/>
      <c r="B24" s="9">
        <v>46238</v>
      </c>
      <c r="C24" s="10"/>
      <c r="D24" s="10"/>
      <c r="E24" s="10">
        <v>109</v>
      </c>
      <c r="F24" s="10">
        <v>35</v>
      </c>
      <c r="G24" s="10">
        <f>E24*F24</f>
        <v>3815</v>
      </c>
      <c r="H24" s="10"/>
      <c r="I24" s="10"/>
      <c r="J24" s="10">
        <v>300</v>
      </c>
      <c r="K24" s="10">
        <f>G24+J24</f>
        <v>4115</v>
      </c>
      <c r="N24" s="24"/>
      <c r="O24" s="24"/>
      <c r="P24" s="24"/>
      <c r="Q24" s="24"/>
    </row>
    <row r="25" spans="1:23">
      <c r="A25" s="36"/>
      <c r="B25" s="9">
        <v>46239</v>
      </c>
      <c r="C25" s="10"/>
      <c r="D25" s="10"/>
      <c r="E25" s="10"/>
      <c r="F25" s="10"/>
      <c r="G25" s="10"/>
      <c r="H25" s="10"/>
      <c r="I25" s="10"/>
      <c r="J25" s="10">
        <v>4580</v>
      </c>
      <c r="K25" s="10">
        <v>4580</v>
      </c>
    </row>
    <row r="26" spans="1:23" ht="14.45">
      <c r="A26" s="36"/>
      <c r="B26" s="9">
        <v>46240</v>
      </c>
      <c r="C26" s="10" t="s">
        <v>35</v>
      </c>
      <c r="D26" s="10"/>
      <c r="E26" s="10">
        <v>39</v>
      </c>
      <c r="F26" s="10">
        <v>35</v>
      </c>
      <c r="G26" s="10">
        <f>E26*F26</f>
        <v>1365</v>
      </c>
      <c r="H26" s="10"/>
      <c r="I26" s="10"/>
      <c r="J26" s="10"/>
      <c r="K26" s="10">
        <f>G26+H26+I26+J26</f>
        <v>1365</v>
      </c>
    </row>
    <row r="27" spans="1:23" ht="14.45">
      <c r="A27" s="36"/>
      <c r="B27" s="9">
        <v>46240</v>
      </c>
      <c r="C27" s="10" t="s">
        <v>36</v>
      </c>
      <c r="D27" s="10"/>
      <c r="E27" s="19" t="s">
        <v>37</v>
      </c>
      <c r="F27" s="10">
        <v>35</v>
      </c>
      <c r="G27" s="10">
        <v>3170</v>
      </c>
      <c r="H27" s="10"/>
      <c r="I27" s="10"/>
      <c r="J27" s="10"/>
      <c r="K27" s="10">
        <f>G27+H27+I27+J27</f>
        <v>3170</v>
      </c>
    </row>
    <row r="28" spans="1:23" ht="14.45">
      <c r="A28" s="36"/>
      <c r="B28" s="9">
        <v>46240</v>
      </c>
      <c r="C28" s="10"/>
      <c r="D28" s="10"/>
      <c r="E28" s="10"/>
      <c r="F28" s="10"/>
      <c r="G28" s="10"/>
      <c r="H28" s="10"/>
      <c r="I28" s="10"/>
      <c r="J28" s="10">
        <v>1250</v>
      </c>
      <c r="K28" s="10">
        <f t="shared" si="2"/>
        <v>1250</v>
      </c>
    </row>
    <row r="29" spans="1:23" ht="14.45">
      <c r="A29" s="36"/>
      <c r="B29" s="9">
        <v>46241</v>
      </c>
      <c r="C29" s="10"/>
      <c r="D29" s="10"/>
      <c r="E29" s="10"/>
      <c r="F29" s="10"/>
      <c r="G29" s="10"/>
      <c r="H29" s="10"/>
      <c r="I29" s="10"/>
      <c r="J29" s="10">
        <v>1500</v>
      </c>
      <c r="K29" s="10">
        <v>1500</v>
      </c>
    </row>
    <row r="30" spans="1:23" ht="14.45">
      <c r="A30" s="36"/>
      <c r="B30" s="9">
        <v>46242</v>
      </c>
      <c r="C30" s="10" t="s">
        <v>19</v>
      </c>
      <c r="D30" s="10"/>
      <c r="E30" s="10">
        <v>286.5</v>
      </c>
      <c r="F30" s="10">
        <v>35</v>
      </c>
      <c r="G30" s="10">
        <v>10275</v>
      </c>
      <c r="H30" s="10"/>
      <c r="I30" s="10"/>
      <c r="J30" s="10">
        <v>350</v>
      </c>
      <c r="K30" s="10">
        <f t="shared" si="2"/>
        <v>10625</v>
      </c>
    </row>
    <row r="31" spans="1:23" ht="14.45">
      <c r="A31" s="36"/>
      <c r="B31" s="9">
        <v>46244</v>
      </c>
      <c r="C31" s="10" t="s">
        <v>11</v>
      </c>
      <c r="D31" s="10"/>
      <c r="E31" s="10">
        <v>521</v>
      </c>
      <c r="F31" s="10">
        <v>35</v>
      </c>
      <c r="G31" s="10">
        <f>E31*F31</f>
        <v>18235</v>
      </c>
      <c r="H31" s="10"/>
      <c r="I31" s="10">
        <v>500</v>
      </c>
      <c r="J31" s="10">
        <v>540</v>
      </c>
      <c r="K31" s="10">
        <f t="shared" si="2"/>
        <v>19275</v>
      </c>
    </row>
    <row r="32" spans="1:23" ht="14.45">
      <c r="A32" s="36"/>
      <c r="B32" s="9">
        <v>46244</v>
      </c>
      <c r="C32" s="10"/>
      <c r="D32" s="10"/>
      <c r="E32" s="10">
        <v>323</v>
      </c>
      <c r="F32" s="10">
        <v>35</v>
      </c>
      <c r="G32" s="10">
        <f>E32*F32</f>
        <v>11305</v>
      </c>
      <c r="H32" s="10"/>
      <c r="I32" s="10"/>
      <c r="J32" s="10">
        <v>100</v>
      </c>
      <c r="K32" s="10">
        <f t="shared" si="2"/>
        <v>11405</v>
      </c>
    </row>
    <row r="33" spans="1:17" ht="14.45">
      <c r="A33" s="36"/>
      <c r="B33" s="9">
        <v>46245</v>
      </c>
      <c r="C33" s="10"/>
      <c r="D33" s="10"/>
      <c r="E33" s="10">
        <v>105</v>
      </c>
      <c r="F33" s="10">
        <v>35</v>
      </c>
      <c r="G33" s="10">
        <f>E33*F33</f>
        <v>3675</v>
      </c>
      <c r="H33" s="10"/>
      <c r="I33" s="10"/>
      <c r="J33" s="10"/>
      <c r="K33" s="10">
        <f t="shared" si="2"/>
        <v>3675</v>
      </c>
    </row>
    <row r="34" spans="1:17" ht="14.45">
      <c r="A34" s="36"/>
      <c r="B34" s="9">
        <v>46245</v>
      </c>
      <c r="C34" s="10"/>
      <c r="D34" s="10"/>
      <c r="E34" s="10">
        <v>270</v>
      </c>
      <c r="F34" s="10">
        <v>35</v>
      </c>
      <c r="G34" s="10">
        <f>E34*F34</f>
        <v>9450</v>
      </c>
      <c r="H34" s="10"/>
      <c r="I34" s="10"/>
      <c r="J34" s="10">
        <v>340</v>
      </c>
      <c r="K34" s="10">
        <f t="shared" si="2"/>
        <v>9790</v>
      </c>
      <c r="P34" s="20" t="s">
        <v>38</v>
      </c>
      <c r="Q34" s="20">
        <f>E15+E58</f>
        <v>10356.799999999999</v>
      </c>
    </row>
    <row r="35" spans="1:17" ht="14.45">
      <c r="A35" s="36"/>
      <c r="B35" s="9">
        <v>46246</v>
      </c>
      <c r="C35" s="10" t="s">
        <v>39</v>
      </c>
      <c r="D35" s="10"/>
      <c r="E35" s="10">
        <v>235</v>
      </c>
      <c r="F35" s="10">
        <v>35</v>
      </c>
      <c r="G35" s="10">
        <f>E35*F35</f>
        <v>8225</v>
      </c>
      <c r="H35" s="10"/>
      <c r="I35" s="10"/>
      <c r="J35" s="10"/>
      <c r="K35" s="10">
        <f t="shared" si="2"/>
        <v>8225</v>
      </c>
    </row>
    <row r="36" spans="1:17" ht="14.45">
      <c r="A36" s="36"/>
      <c r="B36" s="9">
        <v>46246</v>
      </c>
      <c r="C36" s="10"/>
      <c r="D36" s="10"/>
      <c r="E36" s="10">
        <v>143</v>
      </c>
      <c r="F36" s="10">
        <v>35</v>
      </c>
      <c r="G36" s="10">
        <f>E36*F36</f>
        <v>5005</v>
      </c>
      <c r="H36" s="10"/>
      <c r="I36" s="10"/>
      <c r="J36" s="10">
        <v>340</v>
      </c>
      <c r="K36" s="10">
        <f t="shared" si="2"/>
        <v>5345</v>
      </c>
    </row>
    <row r="37" spans="1:17" ht="14.45">
      <c r="A37" s="36"/>
      <c r="B37" s="9">
        <v>46247</v>
      </c>
      <c r="C37" s="10"/>
      <c r="D37" s="10"/>
      <c r="E37" s="10">
        <v>120</v>
      </c>
      <c r="F37" s="10">
        <v>35</v>
      </c>
      <c r="G37" s="10">
        <v>4200</v>
      </c>
      <c r="H37" s="10"/>
      <c r="I37" s="10"/>
      <c r="J37" s="10">
        <v>1870</v>
      </c>
      <c r="K37" s="10">
        <f t="shared" si="2"/>
        <v>6070</v>
      </c>
    </row>
    <row r="38" spans="1:17" ht="14.45">
      <c r="A38" s="36"/>
      <c r="B38" s="9">
        <v>46248</v>
      </c>
      <c r="C38" s="10"/>
      <c r="D38" s="10"/>
      <c r="E38" s="10"/>
      <c r="F38" s="10"/>
      <c r="G38" s="10"/>
      <c r="H38" s="10"/>
      <c r="I38" s="10"/>
      <c r="J38" s="10">
        <v>1850</v>
      </c>
      <c r="K38" s="10">
        <f t="shared" si="2"/>
        <v>1850</v>
      </c>
    </row>
    <row r="39" spans="1:17" ht="14.45">
      <c r="A39" s="36"/>
      <c r="B39" s="9">
        <v>46249</v>
      </c>
      <c r="C39" s="10"/>
      <c r="D39" s="10"/>
      <c r="E39" s="10">
        <v>42</v>
      </c>
      <c r="F39" s="10">
        <v>35</v>
      </c>
      <c r="G39" s="10">
        <f>E39*F39</f>
        <v>1470</v>
      </c>
      <c r="H39" s="10"/>
      <c r="I39" s="10">
        <v>500</v>
      </c>
      <c r="J39" s="10"/>
      <c r="K39" s="10">
        <f t="shared" si="2"/>
        <v>1970</v>
      </c>
    </row>
    <row r="40" spans="1:17" ht="14.45">
      <c r="A40" s="36"/>
      <c r="B40" s="9">
        <v>46249</v>
      </c>
      <c r="C40" s="10"/>
      <c r="D40" s="10"/>
      <c r="E40" s="10">
        <v>21</v>
      </c>
      <c r="F40" s="10">
        <v>35</v>
      </c>
      <c r="G40" s="10">
        <f>E40*F40</f>
        <v>735</v>
      </c>
      <c r="H40" s="10"/>
      <c r="I40" s="10"/>
      <c r="J40" s="10"/>
      <c r="K40" s="10">
        <f t="shared" si="2"/>
        <v>735</v>
      </c>
    </row>
    <row r="41" spans="1:17" ht="14.45">
      <c r="A41" s="36"/>
      <c r="B41" s="9">
        <v>46251</v>
      </c>
      <c r="C41" s="10" t="s">
        <v>11</v>
      </c>
      <c r="D41" s="10"/>
      <c r="E41" s="10">
        <v>563</v>
      </c>
      <c r="F41" s="10">
        <v>35</v>
      </c>
      <c r="G41" s="10">
        <f>E41*F41</f>
        <v>19705</v>
      </c>
      <c r="H41" s="10"/>
      <c r="I41" s="10"/>
      <c r="J41" s="10"/>
      <c r="K41" s="10">
        <f t="shared" si="2"/>
        <v>19705</v>
      </c>
    </row>
    <row r="42" spans="1:17" ht="14.45">
      <c r="A42" s="36"/>
      <c r="B42" s="9">
        <v>46251</v>
      </c>
      <c r="C42" s="10"/>
      <c r="D42" s="10"/>
      <c r="E42" s="10">
        <v>370</v>
      </c>
      <c r="F42" s="10">
        <v>35</v>
      </c>
      <c r="G42" s="10">
        <f>E42*F42</f>
        <v>12950</v>
      </c>
      <c r="H42" s="10"/>
      <c r="I42" s="10"/>
      <c r="J42" s="10">
        <v>350</v>
      </c>
      <c r="K42" s="10">
        <f t="shared" si="2"/>
        <v>13300</v>
      </c>
    </row>
    <row r="43" spans="1:17" ht="14.45">
      <c r="A43" s="36"/>
      <c r="B43" s="9">
        <v>46252</v>
      </c>
      <c r="C43" s="10"/>
      <c r="D43" s="10"/>
      <c r="E43" s="10">
        <v>106.3</v>
      </c>
      <c r="F43" s="10">
        <v>35</v>
      </c>
      <c r="G43" s="10">
        <f>E43*F43</f>
        <v>3720.5</v>
      </c>
      <c r="H43" s="10"/>
      <c r="I43" s="10"/>
      <c r="J43" s="10">
        <v>490</v>
      </c>
      <c r="K43" s="10">
        <f t="shared" si="2"/>
        <v>4210.5</v>
      </c>
    </row>
    <row r="44" spans="1:17" ht="14.45">
      <c r="A44" s="36"/>
      <c r="B44" s="9">
        <v>46253</v>
      </c>
      <c r="C44" s="10"/>
      <c r="D44" s="10"/>
      <c r="E44" s="10"/>
      <c r="F44" s="10"/>
      <c r="G44" s="10"/>
      <c r="H44" s="10"/>
      <c r="I44" s="10"/>
      <c r="J44" s="10">
        <v>440</v>
      </c>
      <c r="K44" s="10">
        <f t="shared" si="2"/>
        <v>440</v>
      </c>
    </row>
    <row r="45" spans="1:17" ht="14.45">
      <c r="A45" s="36"/>
      <c r="B45" s="9">
        <v>46254</v>
      </c>
      <c r="C45" s="10"/>
      <c r="D45" s="10"/>
      <c r="E45" s="10"/>
      <c r="F45" s="10"/>
      <c r="G45" s="10"/>
      <c r="H45" s="10"/>
      <c r="I45" s="10"/>
      <c r="J45" s="10">
        <v>1600</v>
      </c>
      <c r="K45" s="10">
        <f t="shared" si="2"/>
        <v>1600</v>
      </c>
    </row>
    <row r="46" spans="1:17">
      <c r="A46" s="36"/>
      <c r="B46" s="23">
        <v>46255</v>
      </c>
      <c r="C46" s="18"/>
      <c r="D46" s="18"/>
      <c r="E46" s="18"/>
      <c r="F46" s="18"/>
      <c r="G46" s="18"/>
      <c r="H46" s="18"/>
      <c r="I46" s="18">
        <v>500</v>
      </c>
      <c r="J46" s="18">
        <v>450</v>
      </c>
      <c r="K46" s="10">
        <f>J46+I46</f>
        <v>950</v>
      </c>
    </row>
    <row r="47" spans="1:17">
      <c r="A47" s="36"/>
      <c r="B47" s="23">
        <v>46256</v>
      </c>
      <c r="C47" s="18"/>
      <c r="D47" s="18"/>
      <c r="E47" s="18"/>
      <c r="F47" s="18"/>
      <c r="G47" s="18"/>
      <c r="H47" s="18"/>
      <c r="I47" s="18"/>
      <c r="J47" s="18">
        <v>7600</v>
      </c>
      <c r="K47" s="10">
        <f>G47+H47+I47+J47</f>
        <v>7600</v>
      </c>
    </row>
    <row r="48" spans="1:17">
      <c r="A48" s="36"/>
      <c r="B48" s="23">
        <v>46258</v>
      </c>
      <c r="C48" s="18"/>
      <c r="D48" s="18"/>
      <c r="E48" s="18"/>
      <c r="F48" s="18"/>
      <c r="G48" s="18"/>
      <c r="H48" s="18"/>
      <c r="I48" s="18"/>
      <c r="J48" s="18">
        <v>250</v>
      </c>
      <c r="K48" s="10">
        <f>G48+H48+I48+J48</f>
        <v>250</v>
      </c>
    </row>
    <row r="49" spans="1:11">
      <c r="A49" s="36"/>
      <c r="B49" s="23">
        <v>46259</v>
      </c>
      <c r="C49" s="18"/>
      <c r="D49" s="18"/>
      <c r="E49" s="18">
        <v>58</v>
      </c>
      <c r="F49" s="18">
        <v>35</v>
      </c>
      <c r="G49" s="18">
        <f>E49*F49</f>
        <v>2030</v>
      </c>
      <c r="H49" s="18"/>
      <c r="I49" s="18"/>
      <c r="J49" s="18"/>
      <c r="K49" s="10">
        <f>G49+H49+I49+J49</f>
        <v>2030</v>
      </c>
    </row>
    <row r="50" spans="1:11">
      <c r="A50" s="36"/>
      <c r="B50" s="23">
        <v>46259</v>
      </c>
      <c r="C50" s="18" t="s">
        <v>11</v>
      </c>
      <c r="D50" s="18"/>
      <c r="E50" s="18">
        <v>784</v>
      </c>
      <c r="F50" s="18">
        <v>35</v>
      </c>
      <c r="G50" s="18">
        <f>E50*F50</f>
        <v>27440</v>
      </c>
      <c r="H50" s="18"/>
      <c r="I50" s="18"/>
      <c r="J50" s="18">
        <v>550</v>
      </c>
      <c r="K50" s="10">
        <f>G50+H50+I50+J50</f>
        <v>27990</v>
      </c>
    </row>
    <row r="51" spans="1:11">
      <c r="A51" s="36"/>
      <c r="B51" s="23">
        <v>46261</v>
      </c>
      <c r="C51" s="18"/>
      <c r="D51" s="18"/>
      <c r="E51" s="18">
        <v>360</v>
      </c>
      <c r="F51" s="18">
        <v>35</v>
      </c>
      <c r="G51" s="18">
        <f>E51*F51</f>
        <v>12600</v>
      </c>
      <c r="H51" s="18"/>
      <c r="I51" s="18"/>
      <c r="J51" s="18">
        <v>250</v>
      </c>
      <c r="K51" s="10">
        <f>G51+H51+I51+J51</f>
        <v>12850</v>
      </c>
    </row>
    <row r="52" spans="1:11">
      <c r="A52" s="36"/>
      <c r="B52" s="23">
        <v>46262</v>
      </c>
      <c r="C52" s="18"/>
      <c r="D52" s="18"/>
      <c r="E52" s="18">
        <v>350</v>
      </c>
      <c r="F52" s="18">
        <v>35</v>
      </c>
      <c r="G52" s="18">
        <f>E52*F52</f>
        <v>12250</v>
      </c>
      <c r="H52" s="18"/>
      <c r="I52" s="18"/>
      <c r="J52" s="18">
        <v>250</v>
      </c>
      <c r="K52" s="10">
        <f>G52+J52</f>
        <v>12500</v>
      </c>
    </row>
    <row r="53" spans="1:11">
      <c r="A53" s="36"/>
      <c r="B53" s="26">
        <v>28082026</v>
      </c>
      <c r="C53" s="27"/>
      <c r="D53" s="18"/>
      <c r="E53" s="18">
        <v>292</v>
      </c>
      <c r="F53" s="18">
        <v>35</v>
      </c>
      <c r="G53" s="18">
        <f>E53*F53</f>
        <v>10220</v>
      </c>
      <c r="H53" s="18"/>
      <c r="I53" s="18"/>
      <c r="J53" s="18"/>
      <c r="K53" s="10">
        <f>G53+H53+I53+J53</f>
        <v>10220</v>
      </c>
    </row>
    <row r="54" spans="1:11">
      <c r="A54" s="36"/>
      <c r="B54" s="26">
        <v>28082026</v>
      </c>
      <c r="C54" s="27"/>
      <c r="D54" s="18"/>
      <c r="E54" s="18">
        <v>350</v>
      </c>
      <c r="F54" s="18">
        <v>35</v>
      </c>
      <c r="G54" s="18">
        <f>E54*F54</f>
        <v>12250</v>
      </c>
      <c r="H54" s="18"/>
      <c r="I54" s="18"/>
      <c r="J54" s="18"/>
      <c r="K54" s="10">
        <f>G54+H54+I54+J54</f>
        <v>12250</v>
      </c>
    </row>
    <row r="55" spans="1:11">
      <c r="A55" s="36"/>
      <c r="B55" s="28">
        <v>46263</v>
      </c>
      <c r="C55" s="18"/>
      <c r="D55" s="18"/>
      <c r="E55" s="18">
        <v>300</v>
      </c>
      <c r="F55" s="18">
        <v>35</v>
      </c>
      <c r="G55" s="18">
        <f>E55*F55</f>
        <v>10500</v>
      </c>
      <c r="H55" s="18"/>
      <c r="I55" s="18"/>
      <c r="J55" s="18">
        <v>350</v>
      </c>
      <c r="K55" s="10">
        <f>G55+H55+I55+J55</f>
        <v>10850</v>
      </c>
    </row>
    <row r="56" spans="1:11">
      <c r="A56" s="36"/>
      <c r="B56" s="23">
        <v>46263</v>
      </c>
      <c r="C56" s="18"/>
      <c r="D56" s="18"/>
      <c r="E56" s="18">
        <v>52</v>
      </c>
      <c r="F56" s="18">
        <v>35</v>
      </c>
      <c r="G56" s="18">
        <f>F56*E56</f>
        <v>1820</v>
      </c>
      <c r="H56" s="18"/>
      <c r="I56" s="18"/>
      <c r="J56" s="18">
        <v>150</v>
      </c>
      <c r="K56" s="10">
        <f>G56+H56+I56+J56</f>
        <v>1970</v>
      </c>
    </row>
    <row r="57" spans="1:11">
      <c r="A57" s="36"/>
      <c r="B57" s="23">
        <v>46263</v>
      </c>
      <c r="C57" s="18"/>
      <c r="D57" s="18"/>
      <c r="E57" s="18">
        <v>143</v>
      </c>
      <c r="F57" s="18">
        <v>35</v>
      </c>
      <c r="G57" s="18">
        <f>F57*E57</f>
        <v>5005</v>
      </c>
      <c r="H57" s="18"/>
      <c r="I57" s="18"/>
      <c r="J57" s="18"/>
      <c r="K57" s="10">
        <f>G57+H57+I57+J57</f>
        <v>5005</v>
      </c>
    </row>
    <row r="58" spans="1:11" ht="15.75">
      <c r="A58" s="31"/>
      <c r="B58" s="1" t="s">
        <v>34</v>
      </c>
      <c r="C58" s="2"/>
      <c r="D58" s="2"/>
      <c r="E58" s="2">
        <f>SUM(E19:E57)</f>
        <v>7081.8</v>
      </c>
      <c r="F58" s="2"/>
      <c r="G58" s="2">
        <f>SUM(G19:G57)</f>
        <v>251130.5</v>
      </c>
      <c r="H58" s="2">
        <f>SUM(H19:H57)</f>
        <v>0</v>
      </c>
      <c r="I58" s="2">
        <f>SUM(I19:I57)</f>
        <v>2000</v>
      </c>
      <c r="J58" s="2">
        <f>SUM(J19:J57)</f>
        <v>26350</v>
      </c>
      <c r="K58" s="4">
        <f>SUM(K19:K57)</f>
        <v>279480.5</v>
      </c>
    </row>
  </sheetData>
  <mergeCells count="3">
    <mergeCell ref="A1:A15"/>
    <mergeCell ref="A16:K16"/>
    <mergeCell ref="A18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nqc nqc</dc:creator>
  <cp:keywords/>
  <dc:description/>
  <cp:lastModifiedBy/>
  <cp:revision/>
  <dcterms:created xsi:type="dcterms:W3CDTF">2015-06-05T18:19:34Z</dcterms:created>
  <dcterms:modified xsi:type="dcterms:W3CDTF">2026-08-29T18:03:59Z</dcterms:modified>
  <cp:category/>
  <cp:contentStatus/>
</cp:coreProperties>
</file>